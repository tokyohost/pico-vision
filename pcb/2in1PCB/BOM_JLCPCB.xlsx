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BOM_JLCPC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<sst xmlns="http://schemas.openxmlformats.org/spreadsheetml/2006/main" count="127" uniqueCount="91">
  <si>
    <t>Comment</t>
  </si>
  <si>
    <t>Designator</t>
  </si>
  <si>
    <t>Footprint</t>
  </si>
  <si>
    <t>LCSC Part #</t>
  </si>
  <si>
    <t>Manufacturer Part</t>
  </si>
  <si>
    <t>Description</t>
  </si>
  <si>
    <t>Qty</t>
  </si>
  <si>
    <t>pice</t>
  </si>
  <si>
    <t>buy qty</t>
  </si>
  <si>
    <t>1pice price</t>
  </si>
  <si>
    <t>J2</t>
  </si>
  <si>
    <t>Molex_52271-1079_1x10_P1.00mm_BottomContact</t>
  </si>
  <si>
    <t>C293625</t>
  </si>
  <si>
    <t>10-pin 1.0 mm bottom-contact ZIF FPC connector</t>
  </si>
  <si>
    <t>ME6211C30M5G-N</t>
  </si>
  <si>
    <t>U1</t>
  </si>
  <si>
    <t>SOT-23-5</t>
  </si>
  <si>
    <t>C403651</t>
  </si>
  <si>
    <t>3.0 V low-noise LDO; CE tied to VIN</t>
  </si>
  <si>
    <t>CN5711</t>
  </si>
  <si>
    <t>U2</t>
  </si>
  <si>
    <t>HSOP-8-1EP_P1.27mm</t>
  </si>
  <si>
    <t>C35634</t>
  </si>
  <si>
    <t>Low-dropout constant-current LED driver, 79.6 mA setpoint</t>
  </si>
  <si>
    <t>22R</t>
  </si>
  <si>
    <t>R1</t>
  </si>
  <si>
    <t>R_0603_1608Metric</t>
  </si>
  <si>
    <t>C23345</t>
  </si>
  <si>
    <t>0603WAF220JT5E</t>
  </si>
  <si>
    <t>SCL source termination 22 ohm</t>
  </si>
  <si>
    <t>R2</t>
  </si>
  <si>
    <t>SDA source termination 22 ohm</t>
  </si>
  <si>
    <t>33R</t>
  </si>
  <si>
    <t>R3</t>
  </si>
  <si>
    <t>C23140</t>
  </si>
  <si>
    <t>0603WAF330JT5E</t>
  </si>
  <si>
    <t>RESET series resistor 33 ohm</t>
  </si>
  <si>
    <t>R4</t>
  </si>
  <si>
    <t>DC series resistor 33 ohm</t>
  </si>
  <si>
    <t>R5</t>
  </si>
  <si>
    <t>CS series resistor 33 ohm</t>
  </si>
  <si>
    <t>100R</t>
  </si>
  <si>
    <t>R6</t>
  </si>
  <si>
    <t>C105588</t>
  </si>
  <si>
    <t>RC0603FR-07100RL</t>
  </si>
  <si>
    <t>BL/PWM input series resistor 100 ohm</t>
  </si>
  <si>
    <t>10K</t>
  </si>
  <si>
    <t>R7</t>
  </si>
  <si>
    <t>C25804</t>
  </si>
  <si>
    <t>0603WAF1002T5E</t>
  </si>
  <si>
    <t>RESET pull-up</t>
  </si>
  <si>
    <t>100K</t>
  </si>
  <si>
    <t>R8</t>
  </si>
  <si>
    <t>C14675</t>
  </si>
  <si>
    <t>RC0603FR-07100KL</t>
  </si>
  <si>
    <t>CS pull-down</t>
  </si>
  <si>
    <t>R9</t>
  </si>
  <si>
    <t>Backlight default-off pull-down</t>
  </si>
  <si>
    <t>22.6K</t>
  </si>
  <si>
    <t>R10</t>
  </si>
  <si>
    <t>C185349</t>
  </si>
  <si>
    <t>RC0603FR-0722K6L</t>
  </si>
  <si>
    <t>CN5711 current set: 1800/22600=79.6mA</t>
  </si>
  <si>
    <t>4.7uF 10V</t>
  </si>
  <si>
    <t>C1</t>
  </si>
  <si>
    <t>C_0805_2012Metric</t>
  </si>
  <si>
    <t>C380341</t>
  </si>
  <si>
    <t>TCC0805X5R475K100FT</t>
  </si>
  <si>
    <t>LDO input bulk capacitor</t>
  </si>
  <si>
    <t>100nF 50V</t>
  </si>
  <si>
    <t>C2</t>
  </si>
  <si>
    <t>C_0603_1608Metric</t>
  </si>
  <si>
    <t>C14663</t>
  </si>
  <si>
    <t>CC0603KRX7R9BB104</t>
  </si>
  <si>
    <t>LDO input high-frequency bypass</t>
  </si>
  <si>
    <t>1uF 50V</t>
  </si>
  <si>
    <t>C3</t>
  </si>
  <si>
    <t>C15849</t>
  </si>
  <si>
    <t>CL10A105KB8NNNC</t>
  </si>
  <si>
    <t>LDO output capacitor</t>
  </si>
  <si>
    <t>C4</t>
  </si>
  <si>
    <t>LCD local high-frequency bypass</t>
  </si>
  <si>
    <t>C5</t>
  </si>
  <si>
    <t>Power-on reset capacitor</t>
  </si>
  <si>
    <t>C6</t>
  </si>
  <si>
    <t>CN5711 local input capacitor</t>
  </si>
  <si>
    <t>PCB</t>
  </si>
  <si>
    <t xml:space="preserve">LCD 240*320 IPS 10PIN </t>
  </si>
  <si>
    <t>ESP32-S3 R16N8</t>
  </si>
  <si>
    <t>屏幕+ PCB +ESP32-S3 成本</t>
  </si>
  <si>
    <t>利润35% 售价为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</si>
</sst>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zoomScaleSheetLayoutView="60" workbookViewId="0">
      <selection activeCell="L29" sqref="L29"/>
    </sheetView>
  </sheetViews>
  <sheetFormatPr defaultColWidth="9.81818181818182" defaultRowHeight="14"/>
  <cols>
    <col min="1" max="1" width="27.6363636363636" customWidth="1"/>
    <col min="2" max="2" width="14.6363636363636" customWidth="1"/>
    <col min="3" max="3" width="73.7272727272727" customWidth="1"/>
    <col min="5" max="5" width="34.2727272727273" customWidth="1"/>
    <col min="6" max="6" width="83.7272727272727" customWidth="1"/>
    <col min="10" max="10" width="15.8181818181818" customWidth="1"/>
    <col min="12" max="12" width="31.090909090909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522711079</v>
      </c>
      <c r="B2" t="s">
        <v>10</v>
      </c>
      <c r="C2" t="s">
        <v>11</v>
      </c>
      <c r="D2" t="s">
        <v>12</v>
      </c>
      <c r="E2">
        <v>522711079</v>
      </c>
      <c r="F2" t="s">
        <v>13</v>
      </c>
      <c r="G2">
        <v>1</v>
      </c>
      <c r="H2">
        <v>0.7</v>
      </c>
      <c r="I2">
        <v>1</v>
      </c>
      <c r="J2">
        <f>H2/I2</f>
        <v>0.7</v>
      </c>
    </row>
    <row r="3" spans="1:10">
      <c r="A3" t="s">
        <v>14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1</v>
      </c>
      <c r="H3">
        <v>0.25</v>
      </c>
      <c r="I3">
        <v>1</v>
      </c>
      <c r="J3">
        <f t="shared" ref="J3:J20" si="0">H3/I3</f>
        <v>0.25</v>
      </c>
    </row>
    <row r="4" spans="1:10">
      <c r="A4" t="s">
        <v>19</v>
      </c>
      <c r="B4" t="s">
        <v>20</v>
      </c>
      <c r="C4" t="s">
        <v>21</v>
      </c>
      <c r="D4" t="s">
        <v>22</v>
      </c>
      <c r="E4" t="s">
        <v>19</v>
      </c>
      <c r="F4" t="s">
        <v>23</v>
      </c>
      <c r="G4">
        <v>1</v>
      </c>
      <c r="H4">
        <v>0.56</v>
      </c>
      <c r="I4">
        <v>1</v>
      </c>
      <c r="J4">
        <f t="shared" si="0"/>
        <v>0.56</v>
      </c>
    </row>
    <row r="5" spans="1:10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1</v>
      </c>
      <c r="H5">
        <v>4.5</v>
      </c>
      <c r="I5">
        <v>200</v>
      </c>
      <c r="J5">
        <f t="shared" si="0"/>
        <v>0.0225</v>
      </c>
    </row>
    <row r="6" spans="1:10">
      <c r="A6" t="s">
        <v>24</v>
      </c>
      <c r="B6" t="s">
        <v>30</v>
      </c>
      <c r="C6" t="s">
        <v>26</v>
      </c>
      <c r="D6" t="s">
        <v>27</v>
      </c>
      <c r="E6" t="s">
        <v>28</v>
      </c>
      <c r="F6" t="s">
        <v>31</v>
      </c>
      <c r="G6">
        <v>1</v>
      </c>
      <c r="H6">
        <v>4.5</v>
      </c>
      <c r="I6">
        <v>200</v>
      </c>
      <c r="J6">
        <f t="shared" si="0"/>
        <v>0.0225</v>
      </c>
    </row>
    <row r="7" spans="1:10">
      <c r="A7" t="s">
        <v>32</v>
      </c>
      <c r="B7" t="s">
        <v>33</v>
      </c>
      <c r="C7" t="s">
        <v>26</v>
      </c>
      <c r="D7" t="s">
        <v>34</v>
      </c>
      <c r="E7" t="s">
        <v>35</v>
      </c>
      <c r="F7" t="s">
        <v>36</v>
      </c>
      <c r="G7">
        <v>1</v>
      </c>
      <c r="H7">
        <v>1.76</v>
      </c>
      <c r="I7">
        <v>50</v>
      </c>
      <c r="J7">
        <f t="shared" si="0"/>
        <v>0.0352</v>
      </c>
    </row>
    <row r="8" spans="1:10">
      <c r="A8" t="s">
        <v>32</v>
      </c>
      <c r="B8" t="s">
        <v>37</v>
      </c>
      <c r="C8" t="s">
        <v>26</v>
      </c>
      <c r="D8" t="s">
        <v>34</v>
      </c>
      <c r="E8" t="s">
        <v>35</v>
      </c>
      <c r="F8" t="s">
        <v>38</v>
      </c>
      <c r="G8">
        <v>1</v>
      </c>
      <c r="H8">
        <v>1.76</v>
      </c>
      <c r="I8">
        <v>50</v>
      </c>
      <c r="J8">
        <f t="shared" si="0"/>
        <v>0.0352</v>
      </c>
    </row>
    <row r="9" spans="1:10">
      <c r="A9" t="s">
        <v>32</v>
      </c>
      <c r="B9" t="s">
        <v>39</v>
      </c>
      <c r="C9" t="s">
        <v>26</v>
      </c>
      <c r="D9" t="s">
        <v>34</v>
      </c>
      <c r="E9" t="s">
        <v>35</v>
      </c>
      <c r="F9" t="s">
        <v>40</v>
      </c>
      <c r="G9">
        <v>1</v>
      </c>
      <c r="H9">
        <v>1.76</v>
      </c>
      <c r="I9">
        <v>50</v>
      </c>
      <c r="J9">
        <f t="shared" si="0"/>
        <v>0.0352</v>
      </c>
    </row>
    <row r="10" spans="1:10">
      <c r="A10" t="s">
        <v>41</v>
      </c>
      <c r="B10" t="s">
        <v>42</v>
      </c>
      <c r="C10" t="s">
        <v>26</v>
      </c>
      <c r="D10" t="s">
        <v>43</v>
      </c>
      <c r="E10" t="s">
        <v>44</v>
      </c>
      <c r="F10" t="s">
        <v>45</v>
      </c>
      <c r="G10">
        <v>1</v>
      </c>
      <c r="H10">
        <v>4.5</v>
      </c>
      <c r="I10">
        <v>200</v>
      </c>
      <c r="J10">
        <f t="shared" si="0"/>
        <v>0.0225</v>
      </c>
    </row>
    <row r="11" spans="1:10">
      <c r="A11" t="s">
        <v>46</v>
      </c>
      <c r="B11" t="s">
        <v>47</v>
      </c>
      <c r="C11" t="s">
        <v>26</v>
      </c>
      <c r="D11" t="s">
        <v>48</v>
      </c>
      <c r="E11" t="s">
        <v>49</v>
      </c>
      <c r="F11" t="s">
        <v>50</v>
      </c>
      <c r="G11">
        <v>1</v>
      </c>
      <c r="H11">
        <v>4.5</v>
      </c>
      <c r="I11">
        <v>200</v>
      </c>
      <c r="J11">
        <f t="shared" si="0"/>
        <v>0.0225</v>
      </c>
    </row>
    <row r="12" spans="1:10">
      <c r="A12" t="s">
        <v>51</v>
      </c>
      <c r="B12" t="s">
        <v>52</v>
      </c>
      <c r="C12" t="s">
        <v>26</v>
      </c>
      <c r="D12" t="s">
        <v>53</v>
      </c>
      <c r="E12" t="s">
        <v>54</v>
      </c>
      <c r="F12" t="s">
        <v>55</v>
      </c>
      <c r="G12">
        <v>1</v>
      </c>
      <c r="H12">
        <v>1.76</v>
      </c>
      <c r="I12">
        <v>50</v>
      </c>
      <c r="J12">
        <f t="shared" si="0"/>
        <v>0.0352</v>
      </c>
    </row>
    <row r="13" spans="1:10">
      <c r="A13" t="s">
        <v>51</v>
      </c>
      <c r="B13" t="s">
        <v>56</v>
      </c>
      <c r="C13" t="s">
        <v>26</v>
      </c>
      <c r="D13" t="s">
        <v>53</v>
      </c>
      <c r="E13" t="s">
        <v>54</v>
      </c>
      <c r="F13" t="s">
        <v>57</v>
      </c>
      <c r="G13">
        <v>1</v>
      </c>
      <c r="H13">
        <v>1.76</v>
      </c>
      <c r="I13">
        <v>50</v>
      </c>
      <c r="J13">
        <f t="shared" si="0"/>
        <v>0.0352</v>
      </c>
    </row>
    <row r="14" spans="1:10">
      <c r="A14" t="s">
        <v>58</v>
      </c>
      <c r="B14" t="s">
        <v>59</v>
      </c>
      <c r="C14" t="s">
        <v>26</v>
      </c>
      <c r="D14" t="s">
        <v>60</v>
      </c>
      <c r="E14" t="s">
        <v>61</v>
      </c>
      <c r="F14" t="s">
        <v>62</v>
      </c>
      <c r="G14">
        <v>1</v>
      </c>
      <c r="H14">
        <v>2.42</v>
      </c>
      <c r="I14">
        <v>50</v>
      </c>
      <c r="J14">
        <f t="shared" si="0"/>
        <v>0.0484</v>
      </c>
    </row>
    <row r="15" spans="1:10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>
        <v>1</v>
      </c>
      <c r="H15">
        <v>10</v>
      </c>
      <c r="I15">
        <v>50</v>
      </c>
      <c r="J15">
        <f t="shared" si="0"/>
        <v>0.2</v>
      </c>
    </row>
    <row r="16" spans="1:10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>
        <v>1</v>
      </c>
      <c r="H16">
        <v>5</v>
      </c>
      <c r="I16">
        <v>50</v>
      </c>
      <c r="J16">
        <f t="shared" si="0"/>
        <v>0.1</v>
      </c>
    </row>
    <row r="17" spans="1:12">
      <c r="A17" t="s">
        <v>75</v>
      </c>
      <c r="B17" t="s">
        <v>76</v>
      </c>
      <c r="C17" t="s">
        <v>71</v>
      </c>
      <c r="D17" t="s">
        <v>77</v>
      </c>
      <c r="E17" t="s">
        <v>78</v>
      </c>
      <c r="F17" t="s">
        <v>79</v>
      </c>
      <c r="G17">
        <v>1</v>
      </c>
      <c r="H17">
        <v>5.5</v>
      </c>
      <c r="I17">
        <v>50</v>
      </c>
      <c r="J17">
        <f t="shared" si="0"/>
        <v>0.11</v>
      </c>
    </row>
    <row r="18" spans="1:12">
      <c r="A18" t="s">
        <v>69</v>
      </c>
      <c r="B18" t="s">
        <v>80</v>
      </c>
      <c r="C18" t="s">
        <v>71</v>
      </c>
      <c r="D18" t="s">
        <v>72</v>
      </c>
      <c r="E18" t="s">
        <v>73</v>
      </c>
      <c r="F18" t="s">
        <v>81</v>
      </c>
      <c r="G18">
        <v>1</v>
      </c>
      <c r="H18">
        <v>5</v>
      </c>
      <c r="I18">
        <v>50</v>
      </c>
      <c r="J18">
        <f t="shared" si="0"/>
        <v>0.1</v>
      </c>
    </row>
    <row r="19" spans="1:12">
      <c r="A19" t="s">
        <v>69</v>
      </c>
      <c r="B19" t="s">
        <v>82</v>
      </c>
      <c r="C19" t="s">
        <v>71</v>
      </c>
      <c r="D19" t="s">
        <v>72</v>
      </c>
      <c r="E19" t="s">
        <v>73</v>
      </c>
      <c r="F19" t="s">
        <v>83</v>
      </c>
      <c r="G19">
        <v>1</v>
      </c>
      <c r="H19">
        <v>5</v>
      </c>
      <c r="I19">
        <v>50</v>
      </c>
      <c r="J19">
        <f t="shared" si="0"/>
        <v>0.1</v>
      </c>
    </row>
    <row r="20" spans="1:12">
      <c r="A20" t="s">
        <v>75</v>
      </c>
      <c r="B20" t="s">
        <v>84</v>
      </c>
      <c r="C20" t="s">
        <v>71</v>
      </c>
      <c r="D20" t="s">
        <v>77</v>
      </c>
      <c r="E20" t="s">
        <v>78</v>
      </c>
      <c r="F20" t="s">
        <v>85</v>
      </c>
      <c r="G20">
        <v>1</v>
      </c>
      <c r="H20">
        <v>5.5</v>
      </c>
      <c r="I20">
        <v>50</v>
      </c>
      <c r="J20">
        <f t="shared" si="0"/>
        <v>0.11</v>
      </c>
    </row>
    <row r="21" spans="1:12">
      <c r="J21">
        <f>SUM(J2:J20)</f>
        <v>2.5444</v>
      </c>
    </row>
    <row r="22" spans="1:12">
      <c r="A22" t="s">
        <v>86</v>
      </c>
      <c r="G22">
        <v>1</v>
      </c>
      <c r="H22">
        <v>35</v>
      </c>
      <c r="I22">
        <v>10</v>
      </c>
      <c r="J22">
        <f>H22/I22</f>
        <v>3.5</v>
      </c>
    </row>
    <row r="23" spans="1:12">
      <c r="A23" t="s">
        <v>87</v>
      </c>
    </row>
    <row r="24" spans="1:12">
      <c r="A24" t="s">
        <v>88</v>
      </c>
      <c r="G24">
        <v>1</v>
      </c>
      <c r="H24">
        <v>26.6</v>
      </c>
      <c r="I24">
        <v>2</v>
      </c>
      <c r="J24">
        <f>H24/I24</f>
        <v>13.3</v>
      </c>
      <c r="L24" t="s">
        <v>89</v>
      </c>
    </row>
    <row r="25" spans="1:12">
      <c r="G25">
        <v>1</v>
      </c>
      <c r="H25">
        <v>22.6</v>
      </c>
      <c r="I25">
        <v>1</v>
      </c>
      <c r="J25">
        <f>H25/I25</f>
        <v>22.6</v>
      </c>
      <c r="L25">
        <f>J21+J22+J24+J25</f>
        <v>41.9444</v>
      </c>
    </row>
    <row r="27" spans="1:12">
      <c r="L27" t="s">
        <v>90</v>
      </c>
    </row>
    <row r="28" spans="1:12">
      <c r="L28">
        <f>L25*0.35+L25</f>
        <v>56.62494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BOM_JLCPCB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阿拉斯加</cp:lastModifiedBy>
  <dcterms:created xsi:type="dcterms:W3CDTF">2026-07-20T06:42:13Z</dcterms:created>
  <dcterms:modified xsi:type="dcterms:W3CDTF">2026-07-20T10:40:06Z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BD6037B6A1DA438E98D06163A06AC359_13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